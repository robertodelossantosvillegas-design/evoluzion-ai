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 &quot;meses&quot;"/>
  </numFmts>
  <fonts count="12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555555"/>
      <sz val="10"/>
    </font>
    <font>
      <b val="1"/>
      <color rgb="00FFFFFF"/>
      <sz val="13"/>
    </font>
    <font>
      <color rgb="00000000"/>
      <sz val="11"/>
    </font>
    <font>
      <b val="1"/>
      <color rgb="001A1A2E"/>
      <sz val="12"/>
    </font>
    <font>
      <i val="1"/>
      <color rgb="00888888"/>
      <sz val="9"/>
    </font>
    <font>
      <b val="1"/>
      <color rgb="00000000"/>
      <sz val="11"/>
    </font>
    <font>
      <b val="1"/>
      <color rgb="00C0392B"/>
      <sz val="12"/>
    </font>
    <font>
      <b val="1"/>
      <color rgb="00000000"/>
      <sz val="12"/>
    </font>
    <font>
      <b val="1"/>
      <color rgb="00FFFFFF"/>
      <sz val="15"/>
    </font>
    <font>
      <b val="1"/>
      <color rgb="001E8449"/>
      <sz val="12"/>
    </font>
  </fonts>
  <fills count="9">
    <fill>
      <patternFill/>
    </fill>
    <fill>
      <patternFill patternType="gray125"/>
    </fill>
    <fill>
      <patternFill patternType="solid">
        <fgColor rgb="000A0A0F"/>
        <bgColor rgb="000A0A0F"/>
      </patternFill>
    </fill>
    <fill>
      <patternFill patternType="solid">
        <fgColor rgb="005B5BFF"/>
        <bgColor rgb="005B5BFF"/>
      </patternFill>
    </fill>
    <fill>
      <patternFill patternType="solid">
        <fgColor rgb="00FFF6D9"/>
        <bgColor rgb="00FFF6D9"/>
      </patternFill>
    </fill>
    <fill>
      <patternFill patternType="solid">
        <fgColor rgb="00C0392B"/>
        <bgColor rgb="00C0392B"/>
      </patternFill>
    </fill>
    <fill>
      <patternFill patternType="solid">
        <fgColor rgb="00FDEDEC"/>
        <bgColor rgb="00FDEDEC"/>
      </patternFill>
    </fill>
    <fill>
      <patternFill patternType="solid">
        <fgColor rgb="001E8449"/>
        <bgColor rgb="001E8449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vertical="center"/>
    </xf>
    <xf numFmtId="0" fontId="5" fillId="4" borderId="1" applyAlignment="1" pivotButton="0" quotePrefix="0" xfId="0">
      <alignment horizontal="center"/>
    </xf>
    <xf numFmtId="3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center"/>
    </xf>
    <xf numFmtId="0" fontId="6" fillId="0" borderId="0" pivotButton="0" quotePrefix="0" xfId="0"/>
    <xf numFmtId="0" fontId="3" fillId="5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vertical="center"/>
    </xf>
    <xf numFmtId="164" fontId="8" fillId="6" borderId="1" applyAlignment="1" pivotButton="0" quotePrefix="0" xfId="0">
      <alignment horizontal="center"/>
    </xf>
    <xf numFmtId="0" fontId="9" fillId="0" borderId="0" applyAlignment="1" pivotButton="0" quotePrefix="0" xfId="0">
      <alignment vertical="center"/>
    </xf>
    <xf numFmtId="164" fontId="10" fillId="5" borderId="1" applyAlignment="1" pivotButton="0" quotePrefix="0" xfId="0">
      <alignment horizontal="center"/>
    </xf>
    <xf numFmtId="0" fontId="3" fillId="7" borderId="0" applyAlignment="1" pivotButton="0" quotePrefix="0" xfId="0">
      <alignment horizontal="left" vertical="center" indent="1"/>
    </xf>
    <xf numFmtId="164" fontId="11" fillId="8" borderId="1" applyAlignment="1" pivotButton="0" quotePrefix="0" xfId="0">
      <alignment horizontal="center"/>
    </xf>
    <xf numFmtId="9" fontId="10" fillId="7" borderId="1" applyAlignment="1" pivotButton="0" quotePrefix="0" xfId="0">
      <alignment horizontal="center"/>
    </xf>
    <xf numFmtId="165" fontId="10" fillId="7" borderId="1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33"/>
  <sheetViews>
    <sheetView showGridLines="0" zoomScale="11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3" customWidth="1" min="3" max="3"/>
    <col width="18" customWidth="1" min="4" max="4"/>
    <col width="3" customWidth="1" min="5" max="5"/>
    <col width="46" customWidth="1" min="6" max="6"/>
  </cols>
  <sheetData>
    <row r="1" ht="32" customHeight="1">
      <c r="B1" s="1" t="inlineStr">
        <is>
          <t>EVOLUZION — Calculadora de Pérdidas y ROI</t>
        </is>
      </c>
    </row>
    <row r="2" ht="18" customHeight="1">
      <c r="B2" s="2" t="inlineStr">
        <is>
          <t>Diagnóstico en vivo — cuánto le cuesta hoy operar de forma manual</t>
        </is>
      </c>
    </row>
    <row r="4" ht="24" customHeight="1">
      <c r="B4" s="3" t="inlineStr">
        <is>
          <t>SECCIÓN 1 · DATOS BÁSICOS DEL NEGOCIO (editar en amarillo)</t>
        </is>
      </c>
    </row>
    <row r="5" ht="20" customHeight="1">
      <c r="B5" s="4" t="inlineStr">
        <is>
          <t>Nombre del negocio</t>
        </is>
      </c>
      <c r="D5" s="5" t="inlineStr">
        <is>
          <t>Nombre del negocio</t>
        </is>
      </c>
    </row>
    <row r="6" ht="20" customHeight="1">
      <c r="B6" s="4" t="inlineStr">
        <is>
          <t>Clientes perdidos al mes (que se van o no contestaste a tiempo)</t>
        </is>
      </c>
      <c r="D6" s="6" t="n">
        <v>8</v>
      </c>
    </row>
    <row r="7" ht="20" customHeight="1">
      <c r="B7" s="4" t="inlineStr">
        <is>
          <t>Valor promedio de un cliente al mes (ticket promedio)</t>
        </is>
      </c>
      <c r="D7" s="7" t="n">
        <v>800</v>
      </c>
    </row>
    <row r="8" ht="20" customHeight="1">
      <c r="B8" s="4" t="inlineStr">
        <is>
          <t>Número de empleados en tareas repetitivas / atención</t>
        </is>
      </c>
      <c r="D8" s="6" t="n">
        <v>2</v>
      </c>
    </row>
    <row r="9" ht="20" customHeight="1">
      <c r="B9" s="4" t="inlineStr">
        <is>
          <t>Sueldo promedio mensual de un empleado</t>
        </is>
      </c>
      <c r="D9" s="7" t="n">
        <v>9000</v>
      </c>
    </row>
    <row r="10" ht="20" customHeight="1">
      <c r="B10" s="4" t="inlineStr">
        <is>
          <t>Horas al mes que EL DUEÑO pasa resolviendo temas operativos / correos</t>
        </is>
      </c>
      <c r="D10" s="6" t="n">
        <v>30</v>
      </c>
    </row>
    <row r="11" ht="20" customHeight="1">
      <c r="B11" s="4" t="inlineStr">
        <is>
          <t>Valor estimado de la hora del dueño</t>
        </is>
      </c>
      <c r="D11" s="7" t="n">
        <v>250</v>
      </c>
      <c r="F11" s="8" t="inlineStr">
        <is>
          <t>Tip: sueldo que se pagaría a sí mismo / 160 hrs</t>
        </is>
      </c>
    </row>
    <row r="13" ht="24" customHeight="1">
      <c r="B13" s="9" t="inlineStr">
        <is>
          <t>SECCIÓN 2 · EL COSTO OCULTO DE LA INEFICIENCIA (automático)</t>
        </is>
      </c>
    </row>
    <row r="14" ht="20" customHeight="1">
      <c r="B14" s="10" t="inlineStr">
        <is>
          <t>Costo por fuga de clientes (Churn)</t>
        </is>
      </c>
      <c r="D14" s="11">
        <f>D6*D7</f>
        <v/>
      </c>
      <c r="F14" s="8" t="inlineStr">
        <is>
          <t>Clientes perdidos × Ticket promedio</t>
        </is>
      </c>
    </row>
    <row r="15" ht="20" customHeight="1">
      <c r="B15" s="10" t="inlineStr">
        <is>
          <t>Costo por desperdicio de tiempo operativo del staff</t>
        </is>
      </c>
      <c r="D15" s="11">
        <f>D8*D9*0.4</f>
        <v/>
      </c>
      <c r="F15" s="8" t="inlineStr">
        <is>
          <t>Empleados × Sueldo × 40% de ineficiencia asumida</t>
        </is>
      </c>
    </row>
    <row r="16" ht="20" customHeight="1">
      <c r="B16" s="10" t="inlineStr">
        <is>
          <t>Costo del tiempo del dueño secuestrado por la operación</t>
        </is>
      </c>
      <c r="D16" s="11">
        <f>D10*D11</f>
        <v/>
      </c>
      <c r="F16" s="8" t="inlineStr">
        <is>
          <t>Horas del dueño × Valor de su hora</t>
        </is>
      </c>
    </row>
    <row r="17" ht="26" customHeight="1">
      <c r="B17" s="12" t="inlineStr">
        <is>
          <t>PÉRDIDA OCULTA TOTAL AL MES</t>
        </is>
      </c>
      <c r="D17" s="13">
        <f>SUM(D14:D16)</f>
        <v/>
      </c>
      <c r="F17" s="8" t="inlineStr">
        <is>
          <t>Esto se va, exista o no un reporte que lo muestre</t>
        </is>
      </c>
    </row>
    <row r="18" ht="20" customHeight="1">
      <c r="B18" s="4" t="inlineStr">
        <is>
          <t>Eso es lo que se pierde... por día</t>
        </is>
      </c>
      <c r="D18" s="11">
        <f>D17/30</f>
        <v/>
      </c>
      <c r="F18" s="8" t="inlineStr">
        <is>
          <t>Úsalo en vivo: cada día sin sistema, este dinero se va</t>
        </is>
      </c>
    </row>
    <row r="19" ht="20" customHeight="1">
      <c r="B19" s="4" t="inlineStr">
        <is>
          <t>...y por cada hora de tu jornada</t>
        </is>
      </c>
      <c r="D19" s="11">
        <f>D18/8</f>
        <v/>
      </c>
    </row>
    <row r="21" ht="24" customHeight="1">
      <c r="B21" s="3" t="inlineStr">
        <is>
          <t>SECCIÓN 3 · INVERSIÓN EN LA SOLUCIÓN EVOLUZION (tú la llenas)</t>
        </is>
      </c>
    </row>
    <row r="22" ht="20" customHeight="1">
      <c r="B22" s="4" t="inlineStr">
        <is>
          <t>Costo de implementación único (Setup)</t>
        </is>
      </c>
      <c r="D22" s="7" t="n">
        <v>4000</v>
      </c>
    </row>
    <row r="23" ht="20" customHeight="1">
      <c r="B23" s="4" t="inlineStr">
        <is>
          <t>Mensualidad del servicio (Suscripción / Mantenimiento)</t>
        </is>
      </c>
      <c r="D23" s="7" t="n">
        <v>2500</v>
      </c>
    </row>
    <row r="25" ht="24" customHeight="1">
      <c r="B25" s="14" t="inlineStr">
        <is>
          <t>SECCIÓN 4 · INDICADORES DE CIERRE (el momento de la verdad)</t>
        </is>
      </c>
    </row>
    <row r="26" ht="26" customHeight="1">
      <c r="B26" s="12" t="inlineStr">
        <is>
          <t>Costo total de la inacción — lo que pierde HOY al año si no hace nada</t>
        </is>
      </c>
      <c r="D26" s="13">
        <f>D17*12</f>
        <v/>
      </c>
    </row>
    <row r="27" ht="20" customHeight="1">
      <c r="B27" s="10" t="inlineStr">
        <is>
          <t>Ahorro mensual estimado con Evoluzion (recuperamos 70% de la pérdida)</t>
        </is>
      </c>
      <c r="D27" s="15">
        <f>D17*0.7</f>
        <v/>
      </c>
    </row>
    <row r="28" ht="20" customHeight="1">
      <c r="B28" s="10" t="inlineStr">
        <is>
          <t>Ahorro neto mensual (ya descontando la mensualidad)</t>
        </is>
      </c>
      <c r="D28" s="15">
        <f>D27-D23</f>
        <v/>
      </c>
    </row>
    <row r="29" ht="26" customHeight="1">
      <c r="B29" s="12" t="inlineStr">
        <is>
          <t>ROI — Retorno de Inversión (a 12 meses)</t>
        </is>
      </c>
      <c r="D29" s="16">
        <f>((D28*12)-D22)/(D22+(D23*12))</f>
        <v/>
      </c>
    </row>
    <row r="30" ht="26" customHeight="1">
      <c r="B30" s="12" t="inlineStr">
        <is>
          <t>Tiempo de recuperación de la inversión (Payback)</t>
        </is>
      </c>
      <c r="D30" s="17">
        <f>IF(D28&gt;0,D22/D28,"N/A")</f>
        <v/>
      </c>
      <c r="F30" s="8" t="inlineStr">
        <is>
          <t>En cuántos meses el ahorro ya pagó el setup completo</t>
        </is>
      </c>
    </row>
    <row r="32">
      <c r="B32" s="18" t="inlineStr">
        <is>
          <t>"Si nada cambia, en 12 meses habrá perdido el equivalente al costo total de inacción (D26). El sistema se paga solo en el tiempo de recuperación (D30) — todo lo que ahorre después de eso es ganancia neta."</t>
        </is>
      </c>
    </row>
    <row r="33"/>
  </sheetData>
  <mergeCells count="7">
    <mergeCell ref="B4:F4"/>
    <mergeCell ref="B21:F21"/>
    <mergeCell ref="B2:F2"/>
    <mergeCell ref="B25:F25"/>
    <mergeCell ref="B1:F1"/>
    <mergeCell ref="B32:F33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2026-06-17T22:01:51Z</dcterms:created>
  <dcterms:modified xsi:type="dcterms:W3CDTF">2026-06-17T22:01:51Z</dcterms:modified>
</cp:coreProperties>
</file>